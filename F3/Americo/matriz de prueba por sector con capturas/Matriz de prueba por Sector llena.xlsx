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34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<sst xmlns="http://schemas.openxmlformats.org/spreadsheetml/2006/main" count="80" uniqueCount="69">
  <si>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 xml:space="preserve">Matriz de prueba de consumo por sector </t>
  </si>
  <si>
    <t>No.</t>
  </si>
  <si>
    <t>Punto de prueba</t>
  </si>
  <si>
    <t>Descripción / Sector</t>
  </si>
  <si>
    <t>Escenario</t>
  </si>
  <si>
    <t>Resultado esperado</t>
  </si>
  <si>
    <t>Resultado obtenido</t>
  </si>
  <si>
    <t>Estado</t>
  </si>
  <si>
    <t>N1</t>
  </si>
  <si>
    <t>Cultural / Auditorio principal</t>
  </si>
  <si>
    <t>Consumo base esperado vs. consumo actual.</t>
  </si>
  <si>
    <t>Consumo actual cercano al base esperado (15.5 kWh).</t>
  </si>
  <si>
    <t>Dashboard muestra consumo actual de 17.41 kWh frente al base esperado de 15.5 kWh en Auditorio Principal</t>
  </si>
  <si>
    <t>Validado</t>
  </si>
  <si>
    <t>N2</t>
  </si>
  <si>
    <t>Academico/ Aula magna 101</t>
  </si>
  <si>
    <t>Consumo normal en horario hábil.</t>
  </si>
  <si>
    <t>Consumo actual cercano al base esperado (5.5 kWh).</t>
  </si>
  <si>
    <t>Dashboard muestra consumo actual de 6.20 kWh frente al base esperado de 5.5 kWh en Auditorio Principal</t>
  </si>
  <si>
    <t>N3</t>
  </si>
  <si>
    <t>Academico/Aula multimedia 202</t>
  </si>
  <si>
    <t>Consumo ligeramente inferior al base esperado</t>
  </si>
  <si>
    <t>Encendido, Intervalo = 10s, sin activar picos ni fin de semana</t>
  </si>
  <si>
    <t>Dashboard muestra punto inactivo, consumo = 0.00 kWh</t>
  </si>
  <si>
    <t>Pendiente</t>
  </si>
  <si>
    <t>N4</t>
  </si>
  <si>
    <t>Academico/Aula virtual 303</t>
  </si>
  <si>
    <t>Filtro histórico por día  31/01/2026</t>
  </si>
  <si>
    <t>Dashboard muestra solo lecturas del día seleccionado</t>
  </si>
  <si>
    <t>N5</t>
  </si>
  <si>
    <t>Academico/Biblioteca central</t>
  </si>
  <si>
    <t>Consumo reducido con Factor Fin de Semana = 0.3</t>
  </si>
  <si>
    <t>Consumo significativamente menor al base esperado (12 kWh)</t>
  </si>
  <si>
    <t>Dashboard muestra consumo actual de 10.31 kWh frente al base esperado de 12 kWh</t>
  </si>
  <si>
    <t>N6</t>
  </si>
  <si>
    <t>Servicios/Cafetería estudiantil</t>
  </si>
  <si>
    <t>Pico de consumo moderado con Factor Pico = 1.5</t>
  </si>
  <si>
    <t>Consumo superior al base esperado (20 kWh)</t>
  </si>
  <si>
    <t>Dashboard muestra consumo actual de 19.56 kWh frente al base esperado de 20 kWh</t>
  </si>
  <si>
    <t>N7</t>
  </si>
  <si>
    <t>Tecnologico/Centro de datos</t>
  </si>
  <si>
    <t>Consumo fuera de rango crítico con Factor Pico = 2.0</t>
  </si>
  <si>
    <t>Consumo muy superior al base esperado (60 kWh) + alerta de sobreconsumo</t>
  </si>
  <si>
    <t>Dashboard muestra consumo actual de 59.73 kWh frente al base esperado de 60 kWh</t>
  </si>
  <si>
    <t>N8</t>
  </si>
  <si>
    <t>Servicios/Estacionamiento techado</t>
  </si>
  <si>
    <t>Punto sin datos</t>
  </si>
  <si>
    <t>Consumo = 0.00 kWh, estado “Sin datos”</t>
  </si>
  <si>
    <t>Punto inactivo, consumo = 0.00 kWh</t>
  </si>
  <si>
    <t>validado</t>
  </si>
  <si>
    <t>N9</t>
  </si>
  <si>
    <t>Servicios/Gimnasio deportivo</t>
  </si>
  <si>
    <t>Pico de consumo alto con Factor Pico = 2.0</t>
  </si>
  <si>
    <t>Consumo muy superior al base esperado (15 kWh)</t>
  </si>
  <si>
    <t>Dashboard muestra consumo actual de 17.47 kWh frente al base esperado de 15 kWh</t>
  </si>
  <si>
    <t>N10</t>
  </si>
  <si>
    <t>Tecnologico/Sala de servidores</t>
  </si>
  <si>
    <t>Consumo dentro de rango esperado</t>
  </si>
  <si>
    <t>Consumo cercano al base esperado (50 kWh)</t>
  </si>
  <si>
    <t>Dashboard muestra consumo actual de 49.93 kWh frente al base esperado de 50 kWh</t>
  </si>
  <si>
    <t>N11</t>
  </si>
  <si>
    <t>Academico/Laboratorio de cómputo A</t>
  </si>
  <si>
    <t>Consumo inferior al base esperado</t>
  </si>
  <si>
    <t>Consumo cercano al base esperado (12 kWh)</t>
  </si>
  <si>
    <t>Dashboard muestra consumo actual de 13.44 kWh frente al base esperado de 12 kWh</t>
  </si>
  <si>
    <t>Fallido</t>
  </si>
  <si>
    <t>N12</t>
  </si>
  <si>
    <t>Academico/Laboratorio de cómputo B</t>
  </si>
  <si>
    <t>Dashboard muestra consumo actual 11.47 kWh frente al base 12  kWh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</si>
</sst>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H9" sqref="H9"/>
    </sheetView>
  </sheetViews>
  <sheetFormatPr defaultColWidth="9.14285714285714" defaultRowHeight="15" outlineLevelCol="6"/>
  <cols>
    <col min="3" max="3" width="20.8571428571429" customWidth="1"/>
    <col min="4" max="4" width="14.5714285714286" customWidth="1"/>
    <col min="5" max="5" width="20.4285714285714" customWidth="1"/>
    <col min="6" max="6" width="33.8571428571429" customWidth="1"/>
    <col min="7" max="7" width="46.2857142857143" customWidth="1"/>
    <col min="8" max="8" width="14.2857142857143" customWidth="1"/>
  </cols>
  <sheetData>
    <row r="1" ht="36.75" spans="1:7">
      <c r="A1" s="1" t="s">
        <v>0</v>
      </c>
      <c r="B1" s="1"/>
      <c r="C1" s="1"/>
      <c r="D1" s="1"/>
      <c r="E1" s="1"/>
      <c r="F1" s="1"/>
      <c r="G1" s="1"/>
    </row>
    <row r="2" ht="57" spans="1:7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</row>
    <row r="3" ht="60.75" spans="1:7">
      <c r="A3" s="5">
        <v>1</v>
      </c>
      <c r="B3" s="6" t="s">
        <v>8</v>
      </c>
      <c r="C3" s="7" t="s">
        <v>9</v>
      </c>
      <c r="D3" s="8" t="s">
        <v>10</v>
      </c>
      <c r="E3" s="9" t="s">
        <v>11</v>
      </c>
      <c r="F3" s="8" t="s">
        <v>12</v>
      </c>
      <c r="G3" s="10" t="s">
        <v>13</v>
      </c>
    </row>
    <row r="4" ht="45.75" spans="1:7">
      <c r="A4" s="5">
        <f t="shared" ref="A4:A14" si="0">1+A3</f>
        <v>2</v>
      </c>
      <c r="B4" s="6" t="s">
        <v>14</v>
      </c>
      <c r="C4" s="5" t="s">
        <v>15</v>
      </c>
      <c r="D4" s="11" t="s">
        <v>16</v>
      </c>
      <c r="E4" s="12" t="s">
        <v>17</v>
      </c>
      <c r="F4" s="13" t="s">
        <v>18</v>
      </c>
      <c r="G4" s="10" t="s">
        <v>13</v>
      </c>
    </row>
    <row r="5" ht="60.75" spans="1:7">
      <c r="A5" s="5">
        <f t="shared" si="0"/>
        <v>3</v>
      </c>
      <c r="B5" s="6" t="s">
        <v>19</v>
      </c>
      <c r="C5" s="14" t="s">
        <v>20</v>
      </c>
      <c r="D5" s="15" t="s">
        <v>21</v>
      </c>
      <c r="E5" s="16" t="s">
        <v>22</v>
      </c>
      <c r="F5" s="14" t="s">
        <v>23</v>
      </c>
      <c r="G5" s="17" t="s">
        <v>24</v>
      </c>
    </row>
    <row r="6" ht="45.75" spans="1:7">
      <c r="A6" s="5">
        <f t="shared" si="0"/>
        <v>4</v>
      </c>
      <c r="B6" s="5" t="s">
        <v>25</v>
      </c>
      <c r="C6" s="14" t="s">
        <v>26</v>
      </c>
      <c r="D6" s="14" t="s">
        <v>27</v>
      </c>
      <c r="E6" s="14" t="s">
        <v>28</v>
      </c>
      <c r="F6" s="14" t="s">
        <v>23</v>
      </c>
      <c r="G6" s="17" t="s">
        <v>24</v>
      </c>
    </row>
    <row r="7" ht="60.75" spans="1:7">
      <c r="A7" s="5">
        <f t="shared" si="0"/>
        <v>5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13" t="s">
        <v>13</v>
      </c>
    </row>
    <row r="8" ht="75.75" spans="1:7">
      <c r="A8" s="5">
        <f t="shared" si="0"/>
        <v>6</v>
      </c>
      <c r="B8" s="5" t="s">
        <v>34</v>
      </c>
      <c r="C8" s="5" t="s">
        <v>35</v>
      </c>
      <c r="D8" s="13" t="s">
        <v>36</v>
      </c>
      <c r="E8" s="13" t="s">
        <v>37</v>
      </c>
      <c r="F8" s="5" t="s">
        <v>38</v>
      </c>
      <c r="G8" s="13" t="s">
        <v>13</v>
      </c>
    </row>
    <row r="9" ht="75.75" spans="1:7">
      <c r="A9" s="5">
        <f t="shared" si="0"/>
        <v>7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13" t="s">
        <v>13</v>
      </c>
    </row>
    <row r="10" ht="30.75" spans="1:7">
      <c r="A10" s="5">
        <f t="shared" si="0"/>
        <v>8</v>
      </c>
      <c r="B10" s="5" t="s">
        <v>44</v>
      </c>
      <c r="C10" s="5" t="s">
        <v>45</v>
      </c>
      <c r="D10" t="s">
        <v>46</v>
      </c>
      <c r="E10" s="5" t="s">
        <v>47</v>
      </c>
      <c r="F10" s="5" t="s">
        <v>48</v>
      </c>
      <c r="G10" s="13" t="s">
        <v>49</v>
      </c>
    </row>
    <row r="11" ht="60.75" spans="1:7">
      <c r="A11" s="5">
        <f t="shared" si="0"/>
        <v>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13" t="s">
        <v>13</v>
      </c>
    </row>
    <row r="12" ht="45.75" spans="1:7">
      <c r="A12" s="5">
        <f t="shared" si="0"/>
        <v>10</v>
      </c>
      <c r="B12" s="5" t="s">
        <v>55</v>
      </c>
      <c r="C12" s="5" t="s">
        <v>56</v>
      </c>
      <c r="D12" s="13" t="s">
        <v>57</v>
      </c>
      <c r="E12" s="5" t="s">
        <v>58</v>
      </c>
      <c r="F12" s="5" t="s">
        <v>59</v>
      </c>
      <c r="G12" s="13" t="s">
        <v>13</v>
      </c>
    </row>
    <row r="13" ht="45.75" spans="1:7">
      <c r="A13" s="5">
        <f t="shared" si="0"/>
        <v>11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18" t="s">
        <v>65</v>
      </c>
    </row>
    <row r="14" ht="45.75" spans="1:7">
      <c r="A14" s="5">
        <f t="shared" si="0"/>
        <v>12</v>
      </c>
      <c r="B14" s="5" t="s">
        <v>66</v>
      </c>
      <c r="C14" s="5" t="s">
        <v>67</v>
      </c>
      <c r="D14" s="5" t="s">
        <v>57</v>
      </c>
      <c r="E14" s="5" t="s">
        <v>63</v>
      </c>
      <c r="F14" s="11" t="s">
        <v>68</v>
      </c>
      <c r="G14" s="13" t="s">
        <v>13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Chalateco</dc:creator>
  <cp:lastModifiedBy>Chalateco</cp:lastModifiedBy>
  <dcterms:created xsi:type="dcterms:W3CDTF">2026-02-12T16:23:00Z</dcterms:created>
  <dcterms:modified xsi:type="dcterms:W3CDTF">2026-02-12T23:20:01Z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ACF99001DBA3463D89CF9D6BC6D1B007_11</vt:lpwstr>
  </property>
  <property fmtid="{D5CDD505-2E9C-101B-9397-08002B2CF9AE}" pid="3" name="KSOProductBuildVer">
    <vt:lpwstr>2058-12.2.0.23196</vt:lpwstr>
  </property>
</Properties>
</file>
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<sst xmlns="http://schemas.openxmlformats.org/spreadsheetml/2006/main" count="81" uniqueCount="70">
  <si>
    <t xml:space="preserve">Matriz de prueba de consumo por sector </t>
  </si>
  <si>
    <t>No.</t>
  </si>
  <si>
    <t>Punto de prueba</t>
  </si>
  <si>
    <t>Descripción / Sector</t>
  </si>
  <si>
    <t>Escenario</t>
  </si>
  <si>
    <t>Resultado esperado</t>
  </si>
  <si>
    <t>Resultado obtenido</t>
  </si>
  <si>
    <t>Estado</t>
  </si>
  <si>
    <t>N1</t>
  </si>
  <si>
    <t>Cultural / Auditorio principal</t>
  </si>
  <si>
    <t xml:space="preserve">Consumo base esperado vs. consumo actual. </t>
  </si>
  <si>
    <t>Consumo actual cercano al base esperado (15.5 kWh). Rango 14 y 17 kwh</t>
  </si>
  <si>
    <t xml:space="preserve">dashboard muetra consumo de  14.19 kwh esta dentro del rango  </t>
  </si>
  <si>
    <t>Validado</t>
  </si>
  <si>
    <t>N2</t>
  </si>
  <si>
    <t>Academico/ Aula magna 101</t>
  </si>
  <si>
    <t>Consumo normal en horario hábil.</t>
  </si>
  <si>
    <t>Consumo actual cercano al base esperado (5.5 kWh). Rango 5 y 6.5 kwh</t>
  </si>
  <si>
    <t xml:space="preserve">dashboard muetra consumo de  6.45 kwh esta dentro del rango  de el  base esperado  </t>
  </si>
  <si>
    <t>N3</t>
  </si>
  <si>
    <t>Academico/Aula multimedia 202</t>
  </si>
  <si>
    <t>Reejecución de caso de prueba: Consumo ligeramente inferior al base esperado</t>
  </si>
  <si>
    <t xml:space="preserve">dashboard muetra Encendido, teniendo como base (6 kwh) </t>
  </si>
  <si>
    <t>dashboard muetra Encendido el punto, y muetra 5.37 kwh</t>
  </si>
  <si>
    <t>N4</t>
  </si>
  <si>
    <t>Academico/Aula virtual 303</t>
  </si>
  <si>
    <t>Reejecución de caso de prueba: Filtro histórico por día  25/02/2026 y 26/02/2026</t>
  </si>
  <si>
    <t>Dashboard muestra solo lecturas de los días seleccionados</t>
  </si>
  <si>
    <t>Dashboard muestra  lecturas del día seleccionado en el filtro historio</t>
  </si>
  <si>
    <t>N5</t>
  </si>
  <si>
    <t>Academico/Biblioteca central</t>
  </si>
  <si>
    <t xml:space="preserve">Consumo reducido </t>
  </si>
  <si>
    <t>Consumo significativamente menor al base esperado (12 kWh). Rango 11 y 13.5</t>
  </si>
  <si>
    <t xml:space="preserve">dashboard muetra consumo de  11.14 kwh esta dentro del rango  de el  base esperado  </t>
  </si>
  <si>
    <t>N6</t>
  </si>
  <si>
    <t>Servicios/Cafetería estudiantil</t>
  </si>
  <si>
    <t xml:space="preserve">Pico de consumo moderado con Factor Pico = 28kwh intervalo 2 minutos  </t>
  </si>
  <si>
    <t>Consumo superior al base esperado (20 kWh). rango 18 y 22 kwh</t>
  </si>
  <si>
    <t>dashboard muetra consumo de  25.17 kwh, sobre el maximo del rango</t>
  </si>
  <si>
    <t>N7</t>
  </si>
  <si>
    <t>Tecnologico/Centro de datos</t>
  </si>
  <si>
    <t>Consumo fuera de rango crítico con Factor Pico = 75kwh intervalo de 2 minutos</t>
  </si>
  <si>
    <t xml:space="preserve">Consumo muy superior al base esperado (60 kWh. rango 55 y 65 kwh </t>
  </si>
  <si>
    <t xml:space="preserve">dashboard muetra consumo de  67.27 kwh, hay Consumo critico fuera de rango </t>
  </si>
  <si>
    <t>N8</t>
  </si>
  <si>
    <t>Servicios/Estacionamiento techado</t>
  </si>
  <si>
    <t>Punto sin datos</t>
  </si>
  <si>
    <t>Consumo = 0.00 kWh, estado “Sin datos”. base esperado 2.5kwh</t>
  </si>
  <si>
    <t>dashboard muetra consumo de  0.00 kwh</t>
  </si>
  <si>
    <t>N9</t>
  </si>
  <si>
    <t>Servicios/Gimnasio deportivo</t>
  </si>
  <si>
    <t>Pico de consumo alto con Factor Pico = 30 kwh. intervalo 1 minuto</t>
  </si>
  <si>
    <t xml:space="preserve">Consumo muy superior al base esperado (15 kWh). Rango 14 y 17 kwh </t>
  </si>
  <si>
    <t xml:space="preserve">dashboard muetra consumo de  21.17 kwh, hay Consumo superior al base </t>
  </si>
  <si>
    <t>N10</t>
  </si>
  <si>
    <t>Tecnologico/Sala de servidores</t>
  </si>
  <si>
    <t>Consumo dentro de rango esperado entre 47 y 53 kwh. intervalo 1 minuto</t>
  </si>
  <si>
    <t>Consumo dentro del rango al base esperado (50 kWh)</t>
  </si>
  <si>
    <t>dashboard muetra consumo de 50.70  kwh, esta dentro del rango esperado</t>
  </si>
  <si>
    <t>N11</t>
  </si>
  <si>
    <t>Academico/Laboratorio de cómputo A</t>
  </si>
  <si>
    <t>Reejecución de caso de prueba: Consumo inferior al base esperado, configuracion 11 y 12 kwh, intervalo 1 minuto</t>
  </si>
  <si>
    <t>Consumo cercano al base esperado (12kWh). rango 11 y 13 kwh</t>
  </si>
  <si>
    <t>dashboard muetra consumo de 11.22  kwh, hay un consumo inferior al base</t>
  </si>
  <si>
    <t>N12</t>
  </si>
  <si>
    <t>Academico/Laboratorio de cómputo B</t>
  </si>
  <si>
    <t>Consumo dentro del rango  10.5 y 12.5 kwh. intervalo 1 minuto</t>
  </si>
  <si>
    <t>Consumo dentro del rango. Base esperado (11.5 kWh)</t>
  </si>
  <si>
    <t>dashboard muetra consumo de 10.53  kwh, hay un consumo dentro del rango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</si>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</sst>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2" applyNumberFormat="0" applyAlignment="0" applyProtection="0">
      <alignment vertical="center"/>
    </xf>
    <xf numFmtId="0" fontId="12" fillId="7" borderId="13" applyNumberFormat="0" applyAlignment="0" applyProtection="0">
      <alignment vertical="center"/>
    </xf>
    <xf numFmtId="0" fontId="13" fillId="7" borderId="12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5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4" borderId="5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topLeftCell="A10" workbookViewId="0">
      <selection activeCell="H20" sqref="H20"/>
    </sheetView>
  </sheetViews>
  <sheetFormatPr defaultColWidth="9.14285714285714" defaultRowHeight="15" outlineLevelCol="7"/>
  <cols>
    <col min="3" max="3" width="20.8571428571429" customWidth="1"/>
    <col min="4" max="4" width="14.5714285714286" customWidth="1"/>
    <col min="5" max="5" width="20.4285714285714" customWidth="1"/>
    <col min="6" max="6" width="33.8571428571429" customWidth="1"/>
    <col min="7" max="7" width="46.2857142857143" customWidth="1"/>
    <col min="8" max="8" width="14.2857142857143" customWidth="1"/>
  </cols>
  <sheetData>
    <row r="1" ht="36.75" spans="1:7">
      <c r="A1" s="1" t="s">
        <v>0</v>
      </c>
      <c r="B1" s="1"/>
      <c r="C1" s="1"/>
      <c r="D1" s="1"/>
      <c r="E1" s="1"/>
      <c r="F1" s="1"/>
      <c r="G1" s="1"/>
    </row>
    <row r="2" ht="57" spans="1:7">
      <c r="A2" s="2" t="s">
        <v>1</v>
      </c>
      <c r="B2" s="2" t="s">
        <v>2</v>
      </c>
      <c r="C2" s="2" t="s">
        <v>3</v>
      </c>
      <c r="D2" s="3" t="s">
        <v>4</v>
      </c>
      <c r="E2" s="2" t="s">
        <v>5</v>
      </c>
      <c r="F2" s="2" t="s">
        <v>6</v>
      </c>
      <c r="G2" s="4" t="s">
        <v>7</v>
      </c>
    </row>
    <row r="3" ht="60.75" spans="1:7">
      <c r="A3" s="5">
        <v>1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</row>
    <row r="4" ht="60.75" spans="1:7">
      <c r="A4" s="5">
        <f t="shared" ref="A4:A14" si="0">1+A3</f>
        <v>2</v>
      </c>
      <c r="B4" s="6" t="s">
        <v>14</v>
      </c>
      <c r="C4" s="5" t="s">
        <v>15</v>
      </c>
      <c r="D4" s="10" t="s">
        <v>16</v>
      </c>
      <c r="E4" s="12" t="s">
        <v>17</v>
      </c>
      <c r="F4" s="10" t="s">
        <v>18</v>
      </c>
      <c r="G4" s="11" t="s">
        <v>13</v>
      </c>
    </row>
    <row r="5" ht="90.75" spans="1:7">
      <c r="A5" s="13">
        <f t="shared" si="0"/>
        <v>3</v>
      </c>
      <c r="B5" s="6" t="s">
        <v>19</v>
      </c>
      <c r="C5" s="14" t="s">
        <v>20</v>
      </c>
      <c r="D5" s="15" t="s">
        <v>21</v>
      </c>
      <c r="E5" s="16" t="s">
        <v>22</v>
      </c>
      <c r="F5" s="10" t="s">
        <v>23</v>
      </c>
      <c r="G5" s="11" t="s">
        <v>13</v>
      </c>
    </row>
    <row r="6" ht="90.75" spans="1:7">
      <c r="A6" s="13">
        <f t="shared" si="0"/>
        <v>4</v>
      </c>
      <c r="B6" s="5" t="s">
        <v>24</v>
      </c>
      <c r="C6" s="14" t="s">
        <v>25</v>
      </c>
      <c r="D6" s="14" t="s">
        <v>26</v>
      </c>
      <c r="E6" s="14" t="s">
        <v>27</v>
      </c>
      <c r="F6" s="14" t="s">
        <v>28</v>
      </c>
      <c r="G6" s="17" t="s">
        <v>13</v>
      </c>
    </row>
    <row r="7" ht="75.75" spans="1:7">
      <c r="A7" s="5">
        <f t="shared" si="0"/>
        <v>5</v>
      </c>
      <c r="B7" s="5" t="s">
        <v>29</v>
      </c>
      <c r="C7" s="5" t="s">
        <v>30</v>
      </c>
      <c r="D7" s="5" t="s">
        <v>31</v>
      </c>
      <c r="E7" s="5" t="s">
        <v>32</v>
      </c>
      <c r="F7" s="10" t="s">
        <v>33</v>
      </c>
      <c r="G7" s="18" t="s">
        <v>13</v>
      </c>
    </row>
    <row r="8" ht="105.75" spans="1:7">
      <c r="A8" s="5">
        <f t="shared" si="0"/>
        <v>6</v>
      </c>
      <c r="B8" s="5" t="s">
        <v>34</v>
      </c>
      <c r="C8" s="5" t="s">
        <v>35</v>
      </c>
      <c r="D8" s="18" t="s">
        <v>36</v>
      </c>
      <c r="E8" s="18" t="s">
        <v>37</v>
      </c>
      <c r="F8" s="10" t="s">
        <v>38</v>
      </c>
      <c r="G8" s="18" t="s">
        <v>13</v>
      </c>
    </row>
    <row r="9" ht="90.75" spans="1:7">
      <c r="A9" s="5">
        <f t="shared" si="0"/>
        <v>7</v>
      </c>
      <c r="B9" s="5" t="s">
        <v>39</v>
      </c>
      <c r="C9" s="5" t="s">
        <v>40</v>
      </c>
      <c r="D9" s="5" t="s">
        <v>41</v>
      </c>
      <c r="E9" s="5" t="s">
        <v>42</v>
      </c>
      <c r="F9" s="10" t="s">
        <v>43</v>
      </c>
      <c r="G9" s="18" t="s">
        <v>13</v>
      </c>
    </row>
    <row r="10" ht="45.75" spans="1:7">
      <c r="A10" s="5">
        <f t="shared" si="0"/>
        <v>8</v>
      </c>
      <c r="B10" s="5" t="s">
        <v>44</v>
      </c>
      <c r="C10" s="5" t="s">
        <v>45</v>
      </c>
      <c r="D10" t="s">
        <v>46</v>
      </c>
      <c r="E10" s="5" t="s">
        <v>47</v>
      </c>
      <c r="F10" s="10" t="s">
        <v>48</v>
      </c>
      <c r="G10" s="18" t="s">
        <v>13</v>
      </c>
    </row>
    <row r="11" ht="90.75" spans="1:7">
      <c r="A11" s="5">
        <f t="shared" si="0"/>
        <v>9</v>
      </c>
      <c r="B11" s="5" t="s">
        <v>49</v>
      </c>
      <c r="C11" s="5" t="s">
        <v>50</v>
      </c>
      <c r="D11" s="5" t="s">
        <v>51</v>
      </c>
      <c r="E11" s="5" t="s">
        <v>52</v>
      </c>
      <c r="F11" s="10" t="s">
        <v>53</v>
      </c>
      <c r="G11" s="18" t="s">
        <v>13</v>
      </c>
    </row>
    <row r="12" ht="90.75" spans="1:7">
      <c r="A12" s="5">
        <f t="shared" si="0"/>
        <v>10</v>
      </c>
      <c r="B12" s="5" t="s">
        <v>54</v>
      </c>
      <c r="C12" s="5" t="s">
        <v>55</v>
      </c>
      <c r="D12" s="18" t="s">
        <v>56</v>
      </c>
      <c r="E12" s="5" t="s">
        <v>57</v>
      </c>
      <c r="F12" s="10" t="s">
        <v>58</v>
      </c>
      <c r="G12" s="18" t="s">
        <v>13</v>
      </c>
    </row>
    <row r="13" ht="135.75" spans="1:7">
      <c r="A13" s="13">
        <f t="shared" si="0"/>
        <v>11</v>
      </c>
      <c r="B13" s="5" t="s">
        <v>59</v>
      </c>
      <c r="C13" s="5" t="s">
        <v>60</v>
      </c>
      <c r="D13" s="5" t="s">
        <v>61</v>
      </c>
      <c r="E13" s="5" t="s">
        <v>62</v>
      </c>
      <c r="F13" s="10" t="s">
        <v>63</v>
      </c>
      <c r="G13" s="18" t="s">
        <v>13</v>
      </c>
    </row>
    <row r="14" ht="90.75" spans="1:7">
      <c r="A14" s="5">
        <f t="shared" si="0"/>
        <v>12</v>
      </c>
      <c r="B14" s="5" t="s">
        <v>64</v>
      </c>
      <c r="C14" s="5" t="s">
        <v>65</v>
      </c>
      <c r="D14" s="5" t="s">
        <v>66</v>
      </c>
      <c r="E14" s="5" t="s">
        <v>67</v>
      </c>
      <c r="F14" s="10" t="s">
        <v>68</v>
      </c>
      <c r="G14" s="18" t="s">
        <v>13</v>
      </c>
    </row>
    <row r="20" spans="8:8">
      <c r="H20" t="s">
        <v>69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Chalateco</dc:creator>
  <cp:lastModifiedBy>Chalateco</cp:lastModifiedBy>
  <dcterms:created xsi:type="dcterms:W3CDTF">2026-02-12T16:23:00Z</dcterms:created>
  <dcterms:modified xsi:type="dcterms:W3CDTF">2026-02-28T14:51:02Z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ACF99001DBA3463D89CF9D6BC6D1B007_11</vt:lpwstr>
  </property>
  <property fmtid="{D5CDD505-2E9C-101B-9397-08002B2CF9AE}" pid="3" name="KSOProductBuildVer">
    <vt:lpwstr>2058-12.2.0.23196</vt:lpwstr>
  </property>
</Properties>
</file>